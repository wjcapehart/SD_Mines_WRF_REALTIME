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wjc/GitHub/SD_Mines_WRF_REALTIME/namelist_files_and_local_scripts/"/>
    </mc:Choice>
  </mc:AlternateContent>
  <xr:revisionPtr revIDLastSave="0" documentId="13_ncr:1_{8EF44044-D617-3243-9161-554340F03656}" xr6:coauthVersionLast="47" xr6:coauthVersionMax="47" xr10:uidLastSave="{00000000-0000-0000-0000-000000000000}"/>
  <bookViews>
    <workbookView xWindow="3620" yWindow="780" windowWidth="21040" windowHeight="17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" i="1" l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H2" i="1"/>
</calcChain>
</file>

<file path=xl/sharedStrings.xml><?xml version="1.0" encoding="utf-8"?>
<sst xmlns="http://schemas.openxmlformats.org/spreadsheetml/2006/main" count="126" uniqueCount="126">
  <si>
    <t>Station ID</t>
  </si>
  <si>
    <t>Domain</t>
  </si>
  <si>
    <t>Station Name</t>
  </si>
  <si>
    <t>Latitude</t>
  </si>
  <si>
    <t>Longitude</t>
  </si>
  <si>
    <t>Distane from SDMines</t>
  </si>
  <si>
    <t>KUNR</t>
  </si>
  <si>
    <t>KRCA</t>
  </si>
  <si>
    <t>KRAP</t>
  </si>
  <si>
    <t>KUDX</t>
  </si>
  <si>
    <t>KCUT</t>
  </si>
  <si>
    <t>KSPF</t>
  </si>
  <si>
    <t>KEFC</t>
  </si>
  <si>
    <t>KW43</t>
  </si>
  <si>
    <t>KPHP</t>
  </si>
  <si>
    <t>KIEN</t>
  </si>
  <si>
    <t>KCDR</t>
  </si>
  <si>
    <t>K4MC</t>
  </si>
  <si>
    <t>KD07</t>
  </si>
  <si>
    <t>KGRN</t>
  </si>
  <si>
    <t>K2WX</t>
  </si>
  <si>
    <t>KGCC</t>
  </si>
  <si>
    <t>KHEI</t>
  </si>
  <si>
    <t>KLEM</t>
  </si>
  <si>
    <t>KDGW</t>
  </si>
  <si>
    <t>KAIA</t>
  </si>
  <si>
    <t>K4DG</t>
  </si>
  <si>
    <t>KBWW</t>
  </si>
  <si>
    <t>KSIB</t>
  </si>
  <si>
    <t>KPIR</t>
  </si>
  <si>
    <t>KTOR</t>
  </si>
  <si>
    <t>KMIS</t>
  </si>
  <si>
    <t>KBFF</t>
  </si>
  <si>
    <t>KVTN</t>
  </si>
  <si>
    <t>KCYS</t>
  </si>
  <si>
    <t>KBIS</t>
  </si>
  <si>
    <t>KLBF</t>
  </si>
  <si>
    <t>KABR</t>
  </si>
  <si>
    <t>KRIW</t>
  </si>
  <si>
    <t>KBYZ</t>
  </si>
  <si>
    <t>KDEN</t>
  </si>
  <si>
    <t>KBOU</t>
  </si>
  <si>
    <t>KFSD</t>
  </si>
  <si>
    <t>KGGW</t>
  </si>
  <si>
    <t>KGLD</t>
  </si>
  <si>
    <t>KGID</t>
  </si>
  <si>
    <t>MUNS</t>
  </si>
  <si>
    <t>KFGF</t>
  </si>
  <si>
    <t>KOAX</t>
  </si>
  <si>
    <t>KGJT</t>
  </si>
  <si>
    <t>KTOP</t>
  </si>
  <si>
    <t>Rapid City NWS, SD</t>
  </si>
  <si>
    <t>Ellsworth AFB, SD</t>
  </si>
  <si>
    <t>Rapid City Airport, SD</t>
  </si>
  <si>
    <t>Rapid City, NEXRAD, SD</t>
  </si>
  <si>
    <t>Custer Airport, SD</t>
  </si>
  <si>
    <t>Clyde Ice Field, SD</t>
  </si>
  <si>
    <t>Belle Fourche Airport, SD</t>
  </si>
  <si>
    <t>Hulett Airport, WY</t>
  </si>
  <si>
    <t>Philip Airport, SD</t>
  </si>
  <si>
    <t>Pine Ridge Airport, SD</t>
  </si>
  <si>
    <t>Chadron Airport, NE</t>
  </si>
  <si>
    <t>Moorcroft, WY</t>
  </si>
  <si>
    <t>Faith Airport, SD</t>
  </si>
  <si>
    <t>Gordon Airport, NE</t>
  </si>
  <si>
    <t>Buffalo, SD</t>
  </si>
  <si>
    <t>Gillette  Airport, WY</t>
  </si>
  <si>
    <t>Hettinger Airport, ND</t>
  </si>
  <si>
    <t>Lemmon Airport, SD</t>
  </si>
  <si>
    <t>Alliance Airport, NE</t>
  </si>
  <si>
    <t>Douglas, WY</t>
  </si>
  <si>
    <t>Bowman Airport, ND</t>
  </si>
  <si>
    <t>Sibley Peak, WY</t>
  </si>
  <si>
    <t>Pierre Airport, SD</t>
  </si>
  <si>
    <t>Torrington Airport, WY</t>
  </si>
  <si>
    <t>Mission, SD</t>
  </si>
  <si>
    <t>Scottsbluff Airport, NE</t>
  </si>
  <si>
    <t>Miller Field Airport, NE</t>
  </si>
  <si>
    <t>Cheyenne NWS, WY</t>
  </si>
  <si>
    <t>Bismark NWS, ND</t>
  </si>
  <si>
    <t>North Platte NWS, NE</t>
  </si>
  <si>
    <t>Aberdeen NWS, SD</t>
  </si>
  <si>
    <t>Riverton NWS, WY</t>
  </si>
  <si>
    <t>Billings NWS, MT</t>
  </si>
  <si>
    <t>Denver Intl Airport, CO</t>
  </si>
  <si>
    <t>Boulder NWS, CO</t>
  </si>
  <si>
    <t>Sioux Falls NWS, SD</t>
  </si>
  <si>
    <t>Glasgow NWS, MT</t>
  </si>
  <si>
    <t>Hastings NWS, NE</t>
  </si>
  <si>
    <t>Munich School, ND</t>
  </si>
  <si>
    <t>Grand Forks NWS, ND</t>
  </si>
  <si>
    <t>Omaha-Valley NWS, NE</t>
  </si>
  <si>
    <t>Grand Junction NWS, CO</t>
  </si>
  <si>
    <t>Topeka NWS, KS</t>
  </si>
  <si>
    <t>Goodland NWS, KS</t>
  </si>
  <si>
    <t>Converse, Co. Airport, WY</t>
  </si>
  <si>
    <t>K49B</t>
  </si>
  <si>
    <t>Sturgis Airport, SD</t>
  </si>
  <si>
    <t>KECS</t>
  </si>
  <si>
    <t>Mondell Field Airport, SD</t>
  </si>
  <si>
    <t>KHSR</t>
  </si>
  <si>
    <t>Hot Springs Airport, SD</t>
  </si>
  <si>
    <t>K6V0</t>
  </si>
  <si>
    <t>Edgemont Airport, SD</t>
  </si>
  <si>
    <t>K9V6</t>
  </si>
  <si>
    <t>Martin Airport, SD</t>
  </si>
  <si>
    <t>K84D</t>
  </si>
  <si>
    <t>Cheyenne Eagle Butte, SD</t>
  </si>
  <si>
    <t>K96M</t>
  </si>
  <si>
    <t>Ekalaka Airport, WY</t>
  </si>
  <si>
    <t>KSUO</t>
  </si>
  <si>
    <t>Rosebud Sioux Airport, SD</t>
  </si>
  <si>
    <t>Baker Airport, MT</t>
  </si>
  <si>
    <t>KMBG</t>
  </si>
  <si>
    <t>Mobridge Airport, SD</t>
  </si>
  <si>
    <t>K0D8</t>
  </si>
  <si>
    <t>Gettysburg Airport, SD</t>
  </si>
  <si>
    <t>KY27</t>
  </si>
  <si>
    <t>Standing Rock Airport, ND</t>
  </si>
  <si>
    <t>K7L2</t>
  </si>
  <si>
    <t>Linton Airport, ND</t>
  </si>
  <si>
    <t>KHON</t>
  </si>
  <si>
    <t>Huron Airport, SD</t>
  </si>
  <si>
    <t>KBHK</t>
  </si>
  <si>
    <t>Number</t>
  </si>
  <si>
    <t>HTML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</si>
</sst>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4"/>
      <color theme="1"/>
      <name val="Consolas"/>
      <family val="2"/>
    </font>
    <font>
      <sz val="14"/>
      <color rgb="FF000000"/>
      <name val="Consolas"/>
      <family val="2"/>
    </font>
    <font>
      <sz val="14"/>
      <color rgb="FF000000"/>
      <name val="Times"/>
    </font>
    <font>
      <sz val="14"/>
      <color rgb="FF000000"/>
      <name val="Menlo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zoomScale="150" zoomScaleNormal="150" workbookViewId="0">
      <selection activeCell="C11" sqref="C11"/>
    </sheetView>
  </sheetViews>
  <sheetFormatPr baseColWidth="10" defaultColWidth="8.83203125" defaultRowHeight="19"/>
  <cols>
    <col min="1" max="2" width="29.5" style="1" customWidth="1"/>
    <col min="3" max="3" width="10.1640625" style="1" customWidth="1"/>
    <col min="4" max="7" width="29.5" style="1" customWidth="1"/>
    <col min="8" max="16384" width="8.83203125" style="5"/>
  </cols>
  <sheetData>
    <row r="1" spans="1:8">
      <c r="A1" s="1" t="s">
        <v>124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125</v>
      </c>
    </row>
    <row r="2" spans="1:8">
      <c r="A2" s="1">
        <v>1</v>
      </c>
      <c r="B2" s="1" t="s">
        <v>6</v>
      </c>
      <c r="C2" s="1">
        <v>1</v>
      </c>
      <c r="D2" s="1" t="s">
        <v>51</v>
      </c>
      <c r="E2" s="1">
        <v>44.072699999999998</v>
      </c>
      <c r="F2" s="1">
        <v>-103.211</v>
      </c>
      <c r="G2" s="1">
        <v>0.43110557303620273</v>
      </c>
      <c r="H2" s="5" t="str">
        <f>CONCATENATE("        &lt;option value=""",B2,"""&gt;",B2,": ",D2,"&lt;/option&gt;")</f>
        <v xml:space="preserve">        &lt;option value="KUNR"&gt;KUNR: Rapid City NWS, SD&lt;/option&gt;</v>
      </c>
    </row>
    <row r="3" spans="1:8">
      <c r="A3" s="1">
        <f>1+A2</f>
        <v>2</v>
      </c>
      <c r="B3" s="1" t="s">
        <v>7</v>
      </c>
      <c r="C3" s="1">
        <v>1</v>
      </c>
      <c r="D3" s="1" t="s">
        <v>52</v>
      </c>
      <c r="E3" s="1">
        <v>44.133000000000003</v>
      </c>
      <c r="F3" s="1">
        <v>-103.1</v>
      </c>
      <c r="G3" s="1">
        <v>10.6829144055438</v>
      </c>
      <c r="H3" s="5" t="str">
        <f t="shared" ref="H3:H60" si="0">CONCATENATE("        &lt;option value=""",B3,"""&gt;",B3,": ",D3,"&lt;/option&gt;")</f>
        <v xml:space="preserve">        &lt;option value="KRCA"&gt;KRCA: Ellsworth AFB, SD&lt;/option&gt;</v>
      </c>
    </row>
    <row r="4" spans="1:8">
      <c r="A4" s="1">
        <f t="shared" ref="A4:A60" si="1">1+A3</f>
        <v>3</v>
      </c>
      <c r="B4" s="1" t="s">
        <v>8</v>
      </c>
      <c r="C4" s="1">
        <v>1</v>
      </c>
      <c r="D4" s="1" t="s">
        <v>53</v>
      </c>
      <c r="E4" s="1">
        <v>44.042999999999999</v>
      </c>
      <c r="F4" s="1">
        <v>-103.054</v>
      </c>
      <c r="G4" s="1">
        <v>12.697568715776271</v>
      </c>
      <c r="H4" s="5" t="str">
        <f t="shared" si="0"/>
        <v xml:space="preserve">        &lt;option value="KRAP"&gt;KRAP: Rapid City Airport, SD&lt;/option&gt;</v>
      </c>
    </row>
    <row r="5" spans="1:8">
      <c r="A5" s="1">
        <f t="shared" si="1"/>
        <v>4</v>
      </c>
      <c r="B5" s="1" t="s">
        <v>9</v>
      </c>
      <c r="C5" s="1">
        <v>1</v>
      </c>
      <c r="D5" s="1" t="s">
        <v>54</v>
      </c>
      <c r="E5" s="1">
        <v>44.133000000000003</v>
      </c>
      <c r="F5" s="1">
        <v>-102.833</v>
      </c>
      <c r="G5" s="1">
        <v>30.519656877499319</v>
      </c>
      <c r="H5" s="5" t="str">
        <f t="shared" si="0"/>
        <v xml:space="preserve">        &lt;option value="KUDX"&gt;KUDX: Rapid City, NEXRAD, SD&lt;/option&gt;</v>
      </c>
    </row>
    <row r="6" spans="1:8">
      <c r="A6" s="1">
        <f t="shared" si="1"/>
        <v>5</v>
      </c>
      <c r="B6" s="1" t="s">
        <v>96</v>
      </c>
      <c r="C6" s="1">
        <v>1</v>
      </c>
      <c r="D6" s="1" t="s">
        <v>97</v>
      </c>
      <c r="E6" s="1">
        <v>44.418599999999998</v>
      </c>
      <c r="F6" s="1">
        <v>-103.377</v>
      </c>
      <c r="G6" s="1">
        <v>40.55558142954493</v>
      </c>
      <c r="H6" s="5" t="str">
        <f t="shared" si="0"/>
        <v xml:space="preserve">        &lt;option value="K49B"&gt;K49B: Sturgis Airport, SD&lt;/option&gt;</v>
      </c>
    </row>
    <row r="7" spans="1:8">
      <c r="A7" s="1">
        <f t="shared" si="1"/>
        <v>6</v>
      </c>
      <c r="B7" s="1" t="s">
        <v>10</v>
      </c>
      <c r="C7" s="1">
        <v>1</v>
      </c>
      <c r="D7" s="1" t="s">
        <v>55</v>
      </c>
      <c r="E7" s="1">
        <v>43.732999999999997</v>
      </c>
      <c r="F7" s="1">
        <v>-103.611</v>
      </c>
      <c r="G7" s="1">
        <v>49.952992671776983</v>
      </c>
      <c r="H7" s="5" t="str">
        <f t="shared" si="0"/>
        <v xml:space="preserve">        &lt;option value="KCUT"&gt;KCUT: Custer Airport, SD&lt;/option&gt;</v>
      </c>
    </row>
    <row r="8" spans="1:8">
      <c r="A8" s="1">
        <f t="shared" si="1"/>
        <v>7</v>
      </c>
      <c r="B8" s="1" t="s">
        <v>98</v>
      </c>
      <c r="C8" s="1">
        <v>1</v>
      </c>
      <c r="D8" s="1" t="s">
        <v>99</v>
      </c>
      <c r="E8" s="1">
        <v>43.884250000000002</v>
      </c>
      <c r="F8" s="1">
        <v>-104.3145</v>
      </c>
      <c r="G8" s="1">
        <v>55.95</v>
      </c>
      <c r="H8" s="5" t="str">
        <f t="shared" si="0"/>
        <v xml:space="preserve">        &lt;option value="KECS"&gt;KECS: Mondell Field Airport, SD&lt;/option&gt;</v>
      </c>
    </row>
    <row r="9" spans="1:8">
      <c r="A9" s="1">
        <f t="shared" si="1"/>
        <v>8</v>
      </c>
      <c r="B9" s="1" t="s">
        <v>11</v>
      </c>
      <c r="C9" s="1">
        <v>1</v>
      </c>
      <c r="D9" s="1" t="s">
        <v>56</v>
      </c>
      <c r="E9" s="1">
        <v>44.482999999999997</v>
      </c>
      <c r="F9" s="1">
        <v>-103.783</v>
      </c>
      <c r="G9" s="1">
        <v>64.535897054594059</v>
      </c>
      <c r="H9" s="5" t="str">
        <f t="shared" si="0"/>
        <v xml:space="preserve">        &lt;option value="KSPF"&gt;KSPF: Clyde Ice Field, SD&lt;/option&gt;</v>
      </c>
    </row>
    <row r="10" spans="1:8">
      <c r="A10" s="1">
        <f t="shared" si="1"/>
        <v>9</v>
      </c>
      <c r="B10" s="1" t="s">
        <v>100</v>
      </c>
      <c r="C10" s="1">
        <v>1</v>
      </c>
      <c r="D10" s="1" t="s">
        <v>101</v>
      </c>
      <c r="E10" s="2">
        <v>43.368299999999998</v>
      </c>
      <c r="F10" s="1">
        <v>-103.3882778</v>
      </c>
      <c r="G10" s="1">
        <v>80.53</v>
      </c>
      <c r="H10" s="5" t="str">
        <f t="shared" si="0"/>
        <v xml:space="preserve">        &lt;option value="KHSR"&gt;KHSR: Hot Springs Airport, SD&lt;/option&gt;</v>
      </c>
    </row>
    <row r="11" spans="1:8">
      <c r="A11" s="1">
        <f t="shared" si="1"/>
        <v>10</v>
      </c>
      <c r="B11" s="1" t="s">
        <v>12</v>
      </c>
      <c r="C11" s="1">
        <v>1</v>
      </c>
      <c r="D11" s="1" t="s">
        <v>57</v>
      </c>
      <c r="E11" s="1">
        <v>44.734000000000002</v>
      </c>
      <c r="F11" s="1">
        <v>-103.86199999999999</v>
      </c>
      <c r="G11" s="1">
        <v>89.899070756525887</v>
      </c>
      <c r="H11" s="5" t="str">
        <f t="shared" si="0"/>
        <v xml:space="preserve">        &lt;option value="KEFC"&gt;KEFC: Belle Fourche Airport, SD&lt;/option&gt;</v>
      </c>
    </row>
    <row r="12" spans="1:8">
      <c r="A12" s="1">
        <f t="shared" si="1"/>
        <v>11</v>
      </c>
      <c r="B12" s="1" t="s">
        <v>102</v>
      </c>
      <c r="C12" s="1">
        <v>1</v>
      </c>
      <c r="D12" s="1" t="s">
        <v>103</v>
      </c>
      <c r="E12" s="3">
        <v>43.295000000000002</v>
      </c>
      <c r="F12" s="1">
        <v>-103.84298</v>
      </c>
      <c r="G12" s="1">
        <v>96.34</v>
      </c>
      <c r="H12" s="5" t="str">
        <f t="shared" si="0"/>
        <v xml:space="preserve">        &lt;option value="K6V0"&gt;K6V0: Edgemont Airport, SD&lt;/option&gt;</v>
      </c>
    </row>
    <row r="13" spans="1:8">
      <c r="A13" s="1">
        <f t="shared" si="1"/>
        <v>12</v>
      </c>
      <c r="B13" s="1" t="s">
        <v>13</v>
      </c>
      <c r="C13" s="1">
        <v>1</v>
      </c>
      <c r="D13" s="1" t="s">
        <v>58</v>
      </c>
      <c r="E13" s="1">
        <v>44.6629</v>
      </c>
      <c r="F13" s="1">
        <v>-104.568</v>
      </c>
      <c r="G13" s="1">
        <v>126.4318242195897</v>
      </c>
      <c r="H13" s="5" t="str">
        <f t="shared" si="0"/>
        <v xml:space="preserve">        &lt;option value="KW43"&gt;KW43: Hulett Airport, WY&lt;/option&gt;</v>
      </c>
    </row>
    <row r="14" spans="1:8">
      <c r="A14" s="1">
        <f t="shared" si="1"/>
        <v>13</v>
      </c>
      <c r="B14" s="1" t="s">
        <v>14</v>
      </c>
      <c r="C14" s="1">
        <v>1</v>
      </c>
      <c r="D14" s="1" t="s">
        <v>59</v>
      </c>
      <c r="E14" s="1">
        <v>44.051000000000002</v>
      </c>
      <c r="F14" s="1">
        <v>-101.601</v>
      </c>
      <c r="G14" s="1">
        <v>128.3140564897644</v>
      </c>
      <c r="H14" s="5" t="str">
        <f t="shared" si="0"/>
        <v xml:space="preserve">        &lt;option value="KPHP"&gt;KPHP: Philip Airport, SD&lt;/option&gt;</v>
      </c>
    </row>
    <row r="15" spans="1:8">
      <c r="A15" s="1">
        <f t="shared" si="1"/>
        <v>14</v>
      </c>
      <c r="B15" s="1" t="s">
        <v>15</v>
      </c>
      <c r="C15" s="1">
        <v>1</v>
      </c>
      <c r="D15" s="1" t="s">
        <v>60</v>
      </c>
      <c r="E15" s="1">
        <v>43.021000000000001</v>
      </c>
      <c r="F15" s="1">
        <v>-102.518</v>
      </c>
      <c r="G15" s="1">
        <v>129.6643847777365</v>
      </c>
      <c r="H15" s="5" t="str">
        <f t="shared" si="0"/>
        <v xml:space="preserve">        &lt;option value="KIEN"&gt;KIEN: Pine Ridge Airport, SD&lt;/option&gt;</v>
      </c>
    </row>
    <row r="16" spans="1:8">
      <c r="A16" s="1">
        <f t="shared" si="1"/>
        <v>15</v>
      </c>
      <c r="B16" s="1" t="s">
        <v>16</v>
      </c>
      <c r="C16" s="1">
        <v>1</v>
      </c>
      <c r="D16" s="1" t="s">
        <v>61</v>
      </c>
      <c r="E16" s="1">
        <v>42.837000000000003</v>
      </c>
      <c r="F16" s="1">
        <v>-103.098</v>
      </c>
      <c r="G16" s="1">
        <v>137.9287007506741</v>
      </c>
      <c r="H16" s="5" t="str">
        <f t="shared" si="0"/>
        <v xml:space="preserve">        &lt;option value="KCDR"&gt;KCDR: Chadron Airport, NE&lt;/option&gt;</v>
      </c>
    </row>
    <row r="17" spans="1:8">
      <c r="A17" s="1">
        <f t="shared" si="1"/>
        <v>16</v>
      </c>
      <c r="B17" s="1" t="s">
        <v>17</v>
      </c>
      <c r="C17" s="1">
        <v>1</v>
      </c>
      <c r="D17" s="1" t="s">
        <v>62</v>
      </c>
      <c r="E17" s="1">
        <v>44.267000000000003</v>
      </c>
      <c r="F17" s="1">
        <v>-104.95</v>
      </c>
      <c r="G17" s="1">
        <v>140.67735210755981</v>
      </c>
      <c r="H17" s="5" t="str">
        <f t="shared" si="0"/>
        <v xml:space="preserve">        &lt;option value="K4MC"&gt;K4MC: Moorcroft, WY&lt;/option&gt;</v>
      </c>
    </row>
    <row r="18" spans="1:8">
      <c r="A18" s="1">
        <f t="shared" si="1"/>
        <v>17</v>
      </c>
      <c r="B18" s="1" t="s">
        <v>18</v>
      </c>
      <c r="C18" s="1">
        <v>1</v>
      </c>
      <c r="D18" s="1" t="s">
        <v>63</v>
      </c>
      <c r="E18" s="1">
        <v>45.031999999999996</v>
      </c>
      <c r="F18" s="1">
        <v>-102.01900000000001</v>
      </c>
      <c r="G18" s="1">
        <v>142.05525337765619</v>
      </c>
      <c r="H18" s="5" t="str">
        <f t="shared" si="0"/>
        <v xml:space="preserve">        &lt;option value="KD07"&gt;KD07: Faith Airport, SD&lt;/option&gt;</v>
      </c>
    </row>
    <row r="19" spans="1:8">
      <c r="A19" s="1">
        <f t="shared" si="1"/>
        <v>18</v>
      </c>
      <c r="B19" s="1" t="s">
        <v>104</v>
      </c>
      <c r="C19" s="1">
        <v>1</v>
      </c>
      <c r="D19" s="1" t="s">
        <v>105</v>
      </c>
      <c r="E19" s="1">
        <v>43.165599999999998</v>
      </c>
      <c r="F19" s="1">
        <v>-101.71299999999999</v>
      </c>
      <c r="G19" s="1">
        <v>157.08863052909709</v>
      </c>
      <c r="H19" s="5" t="str">
        <f t="shared" si="0"/>
        <v xml:space="preserve">        &lt;option value="K9V6"&gt;K9V6: Martin Airport, SD&lt;/option&gt;</v>
      </c>
    </row>
    <row r="20" spans="1:8">
      <c r="A20" s="1">
        <f t="shared" si="1"/>
        <v>19</v>
      </c>
      <c r="B20" s="1" t="s">
        <v>19</v>
      </c>
      <c r="C20" s="1">
        <v>1</v>
      </c>
      <c r="D20" s="1" t="s">
        <v>64</v>
      </c>
      <c r="E20" s="1">
        <v>42.805999999999997</v>
      </c>
      <c r="F20" s="1">
        <v>-102.175</v>
      </c>
      <c r="G20" s="1">
        <v>163.84109268787159</v>
      </c>
      <c r="H20" s="5" t="str">
        <f t="shared" si="0"/>
        <v xml:space="preserve">        &lt;option value="KGRN"&gt;KGRN: Gordon Airport, NE&lt;/option&gt;</v>
      </c>
    </row>
    <row r="21" spans="1:8">
      <c r="A21" s="1">
        <f t="shared" si="1"/>
        <v>20</v>
      </c>
      <c r="B21" s="1" t="s">
        <v>20</v>
      </c>
      <c r="C21" s="1">
        <v>1</v>
      </c>
      <c r="D21" s="1" t="s">
        <v>65</v>
      </c>
      <c r="E21" s="1">
        <v>45.603999999999999</v>
      </c>
      <c r="F21" s="1">
        <v>-103.54600000000001</v>
      </c>
      <c r="G21" s="1">
        <v>172.11964229673859</v>
      </c>
      <c r="H21" s="5" t="str">
        <f t="shared" si="0"/>
        <v xml:space="preserve">        &lt;option value="K2WX"&gt;K2WX: Buffalo, SD&lt;/option&gt;</v>
      </c>
    </row>
    <row r="22" spans="1:8">
      <c r="A22" s="1">
        <f t="shared" si="1"/>
        <v>21</v>
      </c>
      <c r="B22" s="1" t="s">
        <v>106</v>
      </c>
      <c r="C22" s="1">
        <v>1</v>
      </c>
      <c r="D22" s="1" t="s">
        <v>107</v>
      </c>
      <c r="E22" s="1">
        <v>44.984400000000001</v>
      </c>
      <c r="F22" s="1">
        <v>-101.251</v>
      </c>
      <c r="G22" s="1">
        <v>185.07992318159251</v>
      </c>
      <c r="H22" s="5" t="str">
        <f t="shared" si="0"/>
        <v xml:space="preserve">        &lt;option value="K84D"&gt;K84D: Cheyenne Eagle Butte, SD&lt;/option&gt;</v>
      </c>
    </row>
    <row r="23" spans="1:8">
      <c r="A23" s="1">
        <f t="shared" si="1"/>
        <v>22</v>
      </c>
      <c r="B23" s="1" t="s">
        <v>21</v>
      </c>
      <c r="C23" s="1">
        <v>1</v>
      </c>
      <c r="D23" s="1" t="s">
        <v>66</v>
      </c>
      <c r="E23" s="1">
        <v>44.338999999999999</v>
      </c>
      <c r="F23" s="1">
        <v>-105.542</v>
      </c>
      <c r="G23" s="1">
        <v>188.4463325816937</v>
      </c>
      <c r="H23" s="5" t="str">
        <f t="shared" si="0"/>
        <v xml:space="preserve">        &lt;option value="KGCC"&gt;KGCC: Gillette  Airport, WY&lt;/option&gt;</v>
      </c>
    </row>
    <row r="24" spans="1:8">
      <c r="A24" s="1">
        <f t="shared" si="1"/>
        <v>23</v>
      </c>
      <c r="B24" s="1" t="s">
        <v>108</v>
      </c>
      <c r="C24" s="1">
        <v>1</v>
      </c>
      <c r="D24" s="1" t="s">
        <v>109</v>
      </c>
      <c r="E24" s="1">
        <v>45.876485299999999</v>
      </c>
      <c r="F24" s="1">
        <v>-104.5375713</v>
      </c>
      <c r="G24" s="1">
        <v>202.94</v>
      </c>
      <c r="H24" s="5" t="str">
        <f t="shared" si="0"/>
        <v xml:space="preserve">        &lt;option value="K96M"&gt;K96M: Ekalaka Airport, WY&lt;/option&gt;</v>
      </c>
    </row>
    <row r="25" spans="1:8">
      <c r="A25" s="1">
        <f t="shared" si="1"/>
        <v>24</v>
      </c>
      <c r="B25" s="1" t="s">
        <v>110</v>
      </c>
      <c r="C25" s="1">
        <v>1</v>
      </c>
      <c r="D25" s="1" t="s">
        <v>111</v>
      </c>
      <c r="E25" s="1">
        <v>43.258499999999998</v>
      </c>
      <c r="F25" s="1">
        <v>-100.85899999999999</v>
      </c>
      <c r="G25" s="1">
        <v>209.5047045690095</v>
      </c>
      <c r="H25" s="5" t="str">
        <f t="shared" si="0"/>
        <v xml:space="preserve">        &lt;option value="KSUO"&gt;KSUO: Rosebud Sioux Airport, SD&lt;/option&gt;</v>
      </c>
    </row>
    <row r="26" spans="1:8">
      <c r="A26" s="1">
        <f t="shared" si="1"/>
        <v>25</v>
      </c>
      <c r="B26" s="1" t="s">
        <v>22</v>
      </c>
      <c r="C26" s="1">
        <v>1</v>
      </c>
      <c r="D26" s="1" t="s">
        <v>67</v>
      </c>
      <c r="E26" s="1">
        <v>46.014000000000003</v>
      </c>
      <c r="F26" s="1">
        <v>-102.655</v>
      </c>
      <c r="G26" s="1">
        <v>219.9266419672897</v>
      </c>
      <c r="H26" s="5" t="str">
        <f t="shared" si="0"/>
        <v xml:space="preserve">        &lt;option value="KHEI"&gt;KHEI: Hettinger Airport, ND&lt;/option&gt;</v>
      </c>
    </row>
    <row r="27" spans="1:8">
      <c r="A27" s="1">
        <f t="shared" si="1"/>
        <v>26</v>
      </c>
      <c r="B27" s="1" t="s">
        <v>23</v>
      </c>
      <c r="C27" s="1">
        <v>1</v>
      </c>
      <c r="D27" s="1" t="s">
        <v>68</v>
      </c>
      <c r="E27" s="1">
        <v>45.918999999999997</v>
      </c>
      <c r="F27" s="1">
        <v>-102.10599999999999</v>
      </c>
      <c r="G27" s="1">
        <v>222.5603248457729</v>
      </c>
      <c r="H27" s="5" t="str">
        <f t="shared" si="0"/>
        <v xml:space="preserve">        &lt;option value="KLEM"&gt;KLEM: Lemmon Airport, SD&lt;/option&gt;</v>
      </c>
    </row>
    <row r="28" spans="1:8">
      <c r="A28" s="1">
        <f t="shared" si="1"/>
        <v>27</v>
      </c>
      <c r="B28" s="1" t="s">
        <v>24</v>
      </c>
      <c r="C28" s="1">
        <v>1</v>
      </c>
      <c r="D28" s="1" t="s">
        <v>95</v>
      </c>
      <c r="E28" s="1">
        <v>42.795999999999999</v>
      </c>
      <c r="F28" s="1">
        <v>-105.38</v>
      </c>
      <c r="G28" s="1">
        <v>225.86355147601409</v>
      </c>
      <c r="H28" s="5" t="str">
        <f t="shared" si="0"/>
        <v xml:space="preserve">        &lt;option value="KDGW"&gt;KDGW: Converse, Co. Airport, WY&lt;/option&gt;</v>
      </c>
    </row>
    <row r="29" spans="1:8">
      <c r="A29" s="1">
        <f t="shared" si="1"/>
        <v>28</v>
      </c>
      <c r="B29" s="1" t="s">
        <v>25</v>
      </c>
      <c r="C29" s="1">
        <v>1</v>
      </c>
      <c r="D29" s="1" t="s">
        <v>69</v>
      </c>
      <c r="E29" s="1">
        <v>42.05</v>
      </c>
      <c r="F29" s="1">
        <v>-102.8</v>
      </c>
      <c r="G29" s="1">
        <v>227.56944345410579</v>
      </c>
      <c r="H29" s="5" t="str">
        <f t="shared" si="0"/>
        <v xml:space="preserve">        &lt;option value="KAIA"&gt;KAIA: Alliance Airport, NE&lt;/option&gt;</v>
      </c>
    </row>
    <row r="30" spans="1:8">
      <c r="A30" s="1">
        <f t="shared" si="1"/>
        <v>29</v>
      </c>
      <c r="B30" s="1" t="s">
        <v>26</v>
      </c>
      <c r="C30" s="1">
        <v>1</v>
      </c>
      <c r="D30" s="1" t="s">
        <v>70</v>
      </c>
      <c r="E30" s="1">
        <v>42.75</v>
      </c>
      <c r="F30" s="1">
        <v>-105.383</v>
      </c>
      <c r="G30" s="1">
        <v>229.35449555827219</v>
      </c>
      <c r="H30" s="5" t="str">
        <f t="shared" si="0"/>
        <v xml:space="preserve">        &lt;option value="K4DG"&gt;K4DG: Douglas, WY&lt;/option&gt;</v>
      </c>
    </row>
    <row r="31" spans="1:8">
      <c r="A31" s="1">
        <f t="shared" si="1"/>
        <v>30</v>
      </c>
      <c r="B31" s="1" t="s">
        <v>27</v>
      </c>
      <c r="C31" s="1">
        <v>1</v>
      </c>
      <c r="D31" s="1" t="s">
        <v>71</v>
      </c>
      <c r="E31" s="1">
        <v>46.165500000000002</v>
      </c>
      <c r="F31" s="1">
        <v>-103.3</v>
      </c>
      <c r="G31" s="1">
        <v>232.57826975850921</v>
      </c>
      <c r="H31" s="5" t="str">
        <f t="shared" si="0"/>
        <v xml:space="preserve">        &lt;option value="KBWW"&gt;KBWW: Bowman Airport, ND&lt;/option&gt;</v>
      </c>
    </row>
    <row r="32" spans="1:8">
      <c r="A32" s="1">
        <f t="shared" si="1"/>
        <v>31</v>
      </c>
      <c r="B32" s="1" t="s">
        <v>28</v>
      </c>
      <c r="C32" s="1">
        <v>1</v>
      </c>
      <c r="D32" s="1" t="s">
        <v>72</v>
      </c>
      <c r="E32" s="1">
        <v>42.433</v>
      </c>
      <c r="F32" s="1">
        <v>-105.033</v>
      </c>
      <c r="G32" s="1">
        <v>234.958321162521</v>
      </c>
      <c r="H32" s="5" t="str">
        <f t="shared" si="0"/>
        <v xml:space="preserve">        &lt;option value="KSIB"&gt;KSIB: Sibley Peak, WY&lt;/option&gt;</v>
      </c>
    </row>
    <row r="33" spans="1:8">
      <c r="A33" s="1">
        <f t="shared" si="1"/>
        <v>32</v>
      </c>
      <c r="B33" s="1" t="s">
        <v>29</v>
      </c>
      <c r="C33" s="1">
        <v>1</v>
      </c>
      <c r="D33" s="1" t="s">
        <v>73</v>
      </c>
      <c r="E33" s="1">
        <v>44.381</v>
      </c>
      <c r="F33" s="1">
        <v>-100.286</v>
      </c>
      <c r="G33" s="1">
        <v>235.17103910391759</v>
      </c>
      <c r="H33" s="5" t="str">
        <f t="shared" si="0"/>
        <v xml:space="preserve">        &lt;option value="KPIR"&gt;KPIR: Pierre Airport, SD&lt;/option&gt;</v>
      </c>
    </row>
    <row r="34" spans="1:8">
      <c r="A34" s="1">
        <f t="shared" si="1"/>
        <v>33</v>
      </c>
      <c r="B34" s="1" t="s">
        <v>30</v>
      </c>
      <c r="C34" s="1">
        <v>1</v>
      </c>
      <c r="D34" s="1" t="s">
        <v>74</v>
      </c>
      <c r="E34" s="1">
        <v>42.061</v>
      </c>
      <c r="F34" s="1">
        <v>-104.158</v>
      </c>
      <c r="G34" s="1">
        <v>236.8945391456204</v>
      </c>
      <c r="H34" s="5" t="str">
        <f t="shared" si="0"/>
        <v xml:space="preserve">        &lt;option value="KTOR"&gt;KTOR: Torrington Airport, WY&lt;/option&gt;</v>
      </c>
    </row>
    <row r="35" spans="1:8">
      <c r="A35" s="1">
        <f t="shared" si="1"/>
        <v>34</v>
      </c>
      <c r="B35" s="1" t="s">
        <v>31</v>
      </c>
      <c r="C35" s="1">
        <v>1</v>
      </c>
      <c r="D35" s="1" t="s">
        <v>75</v>
      </c>
      <c r="E35" s="1">
        <v>43.033000000000001</v>
      </c>
      <c r="F35" s="1">
        <v>-100.617</v>
      </c>
      <c r="G35" s="1">
        <v>238.6696483350994</v>
      </c>
      <c r="H35" s="5" t="str">
        <f t="shared" si="0"/>
        <v xml:space="preserve">        &lt;option value="KMIS"&gt;KMIS: Mission, SD&lt;/option&gt;</v>
      </c>
    </row>
    <row r="36" spans="1:8">
      <c r="A36" s="1">
        <f t="shared" si="1"/>
        <v>35</v>
      </c>
      <c r="B36" s="1" t="s">
        <v>32</v>
      </c>
      <c r="C36" s="1">
        <v>1</v>
      </c>
      <c r="D36" s="1" t="s">
        <v>76</v>
      </c>
      <c r="E36" s="1">
        <v>41.871000000000002</v>
      </c>
      <c r="F36" s="1">
        <v>-103.593</v>
      </c>
      <c r="G36" s="1">
        <v>247.07206353589669</v>
      </c>
      <c r="H36" s="5" t="str">
        <f t="shared" si="0"/>
        <v xml:space="preserve">        &lt;option value="KBFF"&gt;KBFF: Scottsbluff Airport, NE&lt;/option&gt;</v>
      </c>
    </row>
    <row r="37" spans="1:8">
      <c r="A37" s="1">
        <f t="shared" si="1"/>
        <v>36</v>
      </c>
      <c r="B37" s="1" t="s">
        <v>33</v>
      </c>
      <c r="C37" s="1">
        <v>1</v>
      </c>
      <c r="D37" s="1" t="s">
        <v>77</v>
      </c>
      <c r="E37" s="1">
        <v>42.878</v>
      </c>
      <c r="F37" s="1">
        <v>-100.55</v>
      </c>
      <c r="G37" s="1">
        <v>252.2939738268428</v>
      </c>
      <c r="H37" s="5" t="str">
        <f t="shared" si="0"/>
        <v xml:space="preserve">        &lt;option value="KVTN"&gt;KVTN: Miller Field Airport, NE&lt;/option&gt;</v>
      </c>
    </row>
    <row r="38" spans="1:8">
      <c r="A38" s="1">
        <f t="shared" si="1"/>
        <v>37</v>
      </c>
      <c r="B38" s="4" t="s">
        <v>123</v>
      </c>
      <c r="C38" s="1">
        <v>1</v>
      </c>
      <c r="D38" s="4" t="s">
        <v>112</v>
      </c>
      <c r="E38" s="4">
        <v>46.346600000000002</v>
      </c>
      <c r="F38" s="4">
        <v>-104.258</v>
      </c>
      <c r="G38" s="1">
        <v>261.64</v>
      </c>
      <c r="H38" s="5" t="str">
        <f t="shared" si="0"/>
        <v xml:space="preserve">        &lt;option value="KBHK"&gt;KBHK: Baker Airport, MT&lt;/option&gt;</v>
      </c>
    </row>
    <row r="39" spans="1:8">
      <c r="A39" s="1">
        <f t="shared" si="1"/>
        <v>38</v>
      </c>
      <c r="B39" s="1" t="s">
        <v>113</v>
      </c>
      <c r="C39" s="1">
        <v>1</v>
      </c>
      <c r="D39" s="1" t="s">
        <v>114</v>
      </c>
      <c r="E39" s="1">
        <v>45.546300000000002</v>
      </c>
      <c r="F39" s="1">
        <v>-100.40600000000001</v>
      </c>
      <c r="G39" s="1">
        <v>274.88469192645931</v>
      </c>
      <c r="H39" s="5" t="str">
        <f t="shared" si="0"/>
        <v xml:space="preserve">        &lt;option value="KMBG"&gt;KMBG: Mobridge Airport, SD&lt;/option&gt;</v>
      </c>
    </row>
    <row r="40" spans="1:8">
      <c r="A40" s="1">
        <f t="shared" si="1"/>
        <v>39</v>
      </c>
      <c r="B40" s="1" t="s">
        <v>115</v>
      </c>
      <c r="C40" s="1">
        <v>1</v>
      </c>
      <c r="D40" s="1" t="s">
        <v>116</v>
      </c>
      <c r="E40" s="1">
        <v>44.986600000000003</v>
      </c>
      <c r="F40" s="1">
        <v>-99.9529</v>
      </c>
      <c r="G40" s="1">
        <v>277.09447091740418</v>
      </c>
      <c r="H40" s="5" t="str">
        <f t="shared" si="0"/>
        <v xml:space="preserve">        &lt;option value="K0D8"&gt;K0D8: Gettysburg Airport, SD&lt;/option&gt;</v>
      </c>
    </row>
    <row r="41" spans="1:8">
      <c r="A41" s="1">
        <f t="shared" si="1"/>
        <v>40</v>
      </c>
      <c r="B41" s="1" t="s">
        <v>117</v>
      </c>
      <c r="C41" s="1">
        <v>1</v>
      </c>
      <c r="D41" s="1" t="s">
        <v>118</v>
      </c>
      <c r="E41" s="1">
        <v>46.066899999999997</v>
      </c>
      <c r="F41" s="1">
        <v>-100.633</v>
      </c>
      <c r="G41" s="1">
        <v>299.81103106992452</v>
      </c>
      <c r="H41" s="5" t="str">
        <f t="shared" si="0"/>
        <v xml:space="preserve">        &lt;option value="KY27"&gt;KY27: Standing Rock Airport, ND&lt;/option&gt;</v>
      </c>
    </row>
    <row r="42" spans="1:8">
      <c r="A42" s="1">
        <f t="shared" si="1"/>
        <v>41</v>
      </c>
      <c r="B42" s="1" t="s">
        <v>35</v>
      </c>
      <c r="C42" s="1">
        <v>1</v>
      </c>
      <c r="D42" s="1" t="s">
        <v>79</v>
      </c>
      <c r="E42" s="1">
        <v>46.7727</v>
      </c>
      <c r="F42" s="1">
        <v>-100.746</v>
      </c>
      <c r="G42" s="1">
        <v>314.89999999999998</v>
      </c>
      <c r="H42" s="5" t="str">
        <f t="shared" si="0"/>
        <v xml:space="preserve">        &lt;option value="KBIS"&gt;KBIS: Bismark NWS, ND&lt;/option&gt;</v>
      </c>
    </row>
    <row r="43" spans="1:8">
      <c r="A43" s="1">
        <f t="shared" si="1"/>
        <v>42</v>
      </c>
      <c r="B43" s="1" t="s">
        <v>119</v>
      </c>
      <c r="C43" s="1">
        <v>1</v>
      </c>
      <c r="D43" s="1" t="s">
        <v>120</v>
      </c>
      <c r="E43" s="1">
        <v>46.220599999999997</v>
      </c>
      <c r="F43" s="1">
        <v>-100.246</v>
      </c>
      <c r="G43" s="1">
        <v>332.86743040960818</v>
      </c>
      <c r="H43" s="5" t="str">
        <f t="shared" si="0"/>
        <v xml:space="preserve">        &lt;option value="K7L2"&gt;K7L2: Linton Airport, ND&lt;/option&gt;</v>
      </c>
    </row>
    <row r="44" spans="1:8" s="1" customFormat="1">
      <c r="A44" s="1">
        <f t="shared" si="1"/>
        <v>43</v>
      </c>
      <c r="B44" s="1" t="s">
        <v>34</v>
      </c>
      <c r="C44" s="1">
        <v>1</v>
      </c>
      <c r="D44" s="1" t="s">
        <v>78</v>
      </c>
      <c r="E44" s="1">
        <v>41.1556</v>
      </c>
      <c r="F44" s="1">
        <v>-104.81</v>
      </c>
      <c r="G44" s="1">
        <v>350.10860643832888</v>
      </c>
      <c r="H44" s="5" t="str">
        <f>CONCATENATE("        &lt;option value=""",B44,"""&gt;",B44,": ",D44,"&lt;/option&gt;")</f>
        <v xml:space="preserve">        &lt;option value="KCYS"&gt;KCYS: Cheyenne NWS, WY&lt;/option&gt;</v>
      </c>
    </row>
    <row r="45" spans="1:8">
      <c r="A45" s="1">
        <f t="shared" si="1"/>
        <v>44</v>
      </c>
      <c r="B45" s="1" t="s">
        <v>36</v>
      </c>
      <c r="C45" s="1">
        <v>1</v>
      </c>
      <c r="D45" s="1" t="s">
        <v>80</v>
      </c>
      <c r="E45" s="1">
        <v>41.126199999999997</v>
      </c>
      <c r="F45" s="1">
        <v>-100.684</v>
      </c>
      <c r="G45" s="1">
        <v>387.42877367270131</v>
      </c>
      <c r="H45" s="5" t="str">
        <f t="shared" si="0"/>
        <v xml:space="preserve">        &lt;option value="KLBF"&gt;KLBF: North Platte NWS, NE&lt;/option&gt;</v>
      </c>
    </row>
    <row r="46" spans="1:8">
      <c r="A46" s="1">
        <f t="shared" si="1"/>
        <v>45</v>
      </c>
      <c r="B46" s="1" t="s">
        <v>121</v>
      </c>
      <c r="C46" s="1">
        <v>1</v>
      </c>
      <c r="D46" s="1" t="s">
        <v>122</v>
      </c>
      <c r="E46" s="1">
        <v>44.385199999999998</v>
      </c>
      <c r="F46" s="1">
        <v>-98.2286</v>
      </c>
      <c r="G46" s="1">
        <v>387.7</v>
      </c>
      <c r="H46" s="5" t="str">
        <f t="shared" si="0"/>
        <v xml:space="preserve">        &lt;option value="KHON"&gt;KHON: Huron Airport, SD&lt;/option&gt;</v>
      </c>
    </row>
    <row r="47" spans="1:8">
      <c r="A47" s="1">
        <f t="shared" si="1"/>
        <v>46</v>
      </c>
      <c r="B47" s="1" t="s">
        <v>37</v>
      </c>
      <c r="C47" s="1">
        <v>1</v>
      </c>
      <c r="D47" s="1" t="s">
        <v>81</v>
      </c>
      <c r="E47" s="1">
        <v>45.4467</v>
      </c>
      <c r="F47" s="1">
        <v>-98.422399999999996</v>
      </c>
      <c r="G47" s="1">
        <v>407.2835821076373</v>
      </c>
      <c r="H47" s="5" t="str">
        <f t="shared" si="0"/>
        <v xml:space="preserve">        &lt;option value="KABR"&gt;KABR: Aberdeen NWS, SD&lt;/option&gt;</v>
      </c>
    </row>
    <row r="48" spans="1:8">
      <c r="A48" s="1">
        <f t="shared" si="1"/>
        <v>47</v>
      </c>
      <c r="B48" s="1" t="s">
        <v>38</v>
      </c>
      <c r="C48" s="1">
        <v>1</v>
      </c>
      <c r="D48" s="1" t="s">
        <v>82</v>
      </c>
      <c r="E48" s="1">
        <v>43.0642</v>
      </c>
      <c r="F48" s="1">
        <v>-108.46</v>
      </c>
      <c r="G48" s="1">
        <v>437.82235791428252</v>
      </c>
      <c r="H48" s="5" t="str">
        <f t="shared" si="0"/>
        <v xml:space="preserve">        &lt;option value="KRIW"&gt;KRIW: Riverton NWS, WY&lt;/option&gt;</v>
      </c>
    </row>
    <row r="49" spans="1:8">
      <c r="A49" s="1">
        <f t="shared" si="1"/>
        <v>48</v>
      </c>
      <c r="B49" s="1" t="s">
        <v>39</v>
      </c>
      <c r="C49" s="1">
        <v>1</v>
      </c>
      <c r="D49" s="1" t="s">
        <v>83</v>
      </c>
      <c r="E49" s="1">
        <v>45.7502</v>
      </c>
      <c r="F49" s="1">
        <v>-108.57</v>
      </c>
      <c r="G49" s="1">
        <v>461.48398607652422</v>
      </c>
      <c r="H49" s="5" t="str">
        <f t="shared" si="0"/>
        <v xml:space="preserve">        &lt;option value="KBYZ"&gt;KBYZ: Billings NWS, MT&lt;/option&gt;</v>
      </c>
    </row>
    <row r="50" spans="1:8">
      <c r="A50" s="1">
        <f t="shared" si="1"/>
        <v>49</v>
      </c>
      <c r="B50" s="1" t="s">
        <v>40</v>
      </c>
      <c r="C50" s="1">
        <v>1</v>
      </c>
      <c r="D50" s="1" t="s">
        <v>84</v>
      </c>
      <c r="E50" s="1">
        <v>39.861699999999999</v>
      </c>
      <c r="F50" s="1">
        <v>-104.673</v>
      </c>
      <c r="G50" s="1">
        <v>483.89787803782338</v>
      </c>
      <c r="H50" s="5" t="str">
        <f t="shared" si="0"/>
        <v xml:space="preserve">        &lt;option value="KDEN"&gt;KDEN: Denver Intl Airport, CO&lt;/option&gt;</v>
      </c>
    </row>
    <row r="51" spans="1:8">
      <c r="A51" s="1">
        <f t="shared" si="1"/>
        <v>50</v>
      </c>
      <c r="B51" s="1" t="s">
        <v>41</v>
      </c>
      <c r="C51" s="1">
        <v>1</v>
      </c>
      <c r="D51" s="1" t="s">
        <v>85</v>
      </c>
      <c r="E51" s="1">
        <v>39.991999999999997</v>
      </c>
      <c r="F51" s="1">
        <v>-105.261</v>
      </c>
      <c r="G51" s="1">
        <v>484.62654498579639</v>
      </c>
      <c r="H51" s="5" t="str">
        <f t="shared" si="0"/>
        <v xml:space="preserve">        &lt;option value="KBOU"&gt;KBOU: Boulder NWS, CO&lt;/option&gt;</v>
      </c>
    </row>
    <row r="52" spans="1:8">
      <c r="A52" s="1">
        <f t="shared" si="1"/>
        <v>51</v>
      </c>
      <c r="B52" s="1" t="s">
        <v>42</v>
      </c>
      <c r="C52" s="1">
        <v>1</v>
      </c>
      <c r="D52" s="1" t="s">
        <v>86</v>
      </c>
      <c r="E52" s="1">
        <v>43.582000000000001</v>
      </c>
      <c r="F52" s="1">
        <v>-96.741900000000001</v>
      </c>
      <c r="G52" s="1">
        <v>521.33382524072977</v>
      </c>
      <c r="H52" s="5" t="str">
        <f t="shared" si="0"/>
        <v xml:space="preserve">        &lt;option value="KFSD"&gt;KFSD: Sioux Falls NWS, SD&lt;/option&gt;</v>
      </c>
    </row>
    <row r="53" spans="1:8">
      <c r="A53" s="1">
        <f t="shared" si="1"/>
        <v>52</v>
      </c>
      <c r="B53" s="1" t="s">
        <v>43</v>
      </c>
      <c r="C53" s="1">
        <v>1</v>
      </c>
      <c r="D53" s="1" t="s">
        <v>87</v>
      </c>
      <c r="E53" s="1">
        <v>48.212400000000002</v>
      </c>
      <c r="F53" s="1">
        <v>-106.61499999999999</v>
      </c>
      <c r="G53" s="1">
        <v>529.60258153152961</v>
      </c>
      <c r="H53" s="5" t="str">
        <f t="shared" si="0"/>
        <v xml:space="preserve">        &lt;option value="KGGW"&gt;KGGW: Glasgow NWS, MT&lt;/option&gt;</v>
      </c>
    </row>
    <row r="54" spans="1:8">
      <c r="A54" s="1">
        <f t="shared" si="1"/>
        <v>53</v>
      </c>
      <c r="B54" s="1" t="s">
        <v>44</v>
      </c>
      <c r="C54" s="1">
        <v>1</v>
      </c>
      <c r="D54" s="1" t="s">
        <v>94</v>
      </c>
      <c r="E54" s="1">
        <v>39.370699999999999</v>
      </c>
      <c r="F54" s="1">
        <v>-101.699</v>
      </c>
      <c r="G54" s="1">
        <v>537.81299158903198</v>
      </c>
      <c r="H54" s="5" t="str">
        <f t="shared" si="0"/>
        <v xml:space="preserve">        &lt;option value="KGLD"&gt;KGLD: Goodland NWS, KS&lt;/option&gt;</v>
      </c>
    </row>
    <row r="55" spans="1:8">
      <c r="A55" s="1">
        <f t="shared" si="1"/>
        <v>54</v>
      </c>
      <c r="B55" s="1" t="s">
        <v>45</v>
      </c>
      <c r="C55" s="1">
        <v>1</v>
      </c>
      <c r="D55" s="1" t="s">
        <v>88</v>
      </c>
      <c r="E55" s="1">
        <v>40.647500000000001</v>
      </c>
      <c r="F55" s="1">
        <v>-98.383700000000005</v>
      </c>
      <c r="G55" s="1">
        <v>549.60430011219228</v>
      </c>
      <c r="H55" s="5" t="str">
        <f t="shared" si="0"/>
        <v xml:space="preserve">        &lt;option value="KGID"&gt;KGID: Hastings NWS, NE&lt;/option&gt;</v>
      </c>
    </row>
    <row r="56" spans="1:8">
      <c r="A56" s="1">
        <f t="shared" si="1"/>
        <v>55</v>
      </c>
      <c r="B56" s="1" t="s">
        <v>46</v>
      </c>
      <c r="C56" s="1">
        <v>1</v>
      </c>
      <c r="D56" s="1" t="s">
        <v>89</v>
      </c>
      <c r="E56" s="1">
        <v>48.667499999999997</v>
      </c>
      <c r="F56" s="1">
        <v>-98.834400000000002</v>
      </c>
      <c r="G56" s="1">
        <v>610.75548649454925</v>
      </c>
      <c r="H56" s="5" t="str">
        <f t="shared" si="0"/>
        <v xml:space="preserve">        &lt;option value="MUNS"&gt;MUNS: Munich School, ND&lt;/option&gt;</v>
      </c>
    </row>
    <row r="57" spans="1:8">
      <c r="A57" s="1">
        <f t="shared" si="1"/>
        <v>56</v>
      </c>
      <c r="B57" s="1" t="s">
        <v>47</v>
      </c>
      <c r="C57" s="1">
        <v>1</v>
      </c>
      <c r="D57" s="1" t="s">
        <v>90</v>
      </c>
      <c r="E57" s="1">
        <v>47.921900000000001</v>
      </c>
      <c r="F57" s="1">
        <v>-97.098100000000002</v>
      </c>
      <c r="G57" s="1">
        <v>636.5233353769745</v>
      </c>
      <c r="H57" s="5" t="str">
        <f t="shared" si="0"/>
        <v xml:space="preserve">        &lt;option value="KFGF"&gt;KFGF: Grand Forks NWS, ND&lt;/option&gt;</v>
      </c>
    </row>
    <row r="58" spans="1:8">
      <c r="A58" s="1">
        <f t="shared" si="1"/>
        <v>57</v>
      </c>
      <c r="B58" s="1" t="s">
        <v>48</v>
      </c>
      <c r="C58" s="1">
        <v>1</v>
      </c>
      <c r="D58" s="1" t="s">
        <v>91</v>
      </c>
      <c r="E58" s="1">
        <v>41.319699999999997</v>
      </c>
      <c r="F58" s="1">
        <v>-96.3673</v>
      </c>
      <c r="G58" s="1">
        <v>637.07875462019854</v>
      </c>
      <c r="H58" s="5" t="str">
        <f t="shared" si="0"/>
        <v xml:space="preserve">        &lt;option value="KOAX"&gt;KOAX: Omaha-Valley NWS, NE&lt;/option&gt;</v>
      </c>
    </row>
    <row r="59" spans="1:8">
      <c r="A59" s="1">
        <f t="shared" si="1"/>
        <v>58</v>
      </c>
      <c r="B59" s="1" t="s">
        <v>49</v>
      </c>
      <c r="C59" s="1">
        <v>1</v>
      </c>
      <c r="D59" s="1" t="s">
        <v>92</v>
      </c>
      <c r="E59" s="1">
        <v>39.122399999999999</v>
      </c>
      <c r="F59" s="1">
        <v>-108.527</v>
      </c>
      <c r="G59" s="1">
        <v>706.05970680141979</v>
      </c>
      <c r="H59" s="5" t="str">
        <f t="shared" si="0"/>
        <v xml:space="preserve">        &lt;option value="KGJT"&gt;KGJT: Grand Junction NWS, CO&lt;/option&gt;</v>
      </c>
    </row>
    <row r="60" spans="1:8">
      <c r="A60" s="1">
        <f t="shared" si="1"/>
        <v>59</v>
      </c>
      <c r="B60" s="1" t="s">
        <v>50</v>
      </c>
      <c r="C60" s="1">
        <v>1</v>
      </c>
      <c r="D60" s="1" t="s">
        <v>93</v>
      </c>
      <c r="E60" s="1">
        <v>39.068800000000003</v>
      </c>
      <c r="F60" s="1">
        <v>-95.622399999999999</v>
      </c>
      <c r="G60" s="1">
        <v>840.71703075227481</v>
      </c>
      <c r="H60" s="5" t="str">
        <f t="shared" si="0"/>
        <v xml:space="preserve">        &lt;option value="KTOP"&gt;KTOP: Topeka NWS, KS&lt;/option&gt;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Capehart, William J</cp:lastModifiedBy>
  <dcterms:created xsi:type="dcterms:W3CDTF">2023-03-29T03:09:55Z</dcterms:created>
  <dcterms:modified xsi:type="dcterms:W3CDTF">2026-07-25T22:55:30Z</dcterms:modified>
</cp:coreProperties>
</file>